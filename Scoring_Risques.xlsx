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nées" sheetId="1" r:id="rId5"/>
    <sheet state="visible" name="Scoring" sheetId="2" r:id="rId6"/>
    <sheet state="visible" name="Tableau de bord" sheetId="3" r:id="rId7"/>
  </sheets>
  <definedNames/>
  <calcPr/>
</workbook>
</file>

<file path=xl/sharedStrings.xml><?xml version="1.0" encoding="utf-8"?>
<sst xmlns="http://schemas.openxmlformats.org/spreadsheetml/2006/main" count="60" uniqueCount="44">
  <si>
    <t>Entreprise</t>
  </si>
  <si>
    <t>Secteur</t>
  </si>
  <si>
    <t>CA</t>
  </si>
  <si>
    <t>Résultat Net</t>
  </si>
  <si>
    <t>Trésorerie</t>
  </si>
  <si>
    <t>Endettement</t>
  </si>
  <si>
    <t>Effectifs</t>
  </si>
  <si>
    <t>Retard Paiement</t>
  </si>
  <si>
    <t>SARL ALPHA</t>
  </si>
  <si>
    <t>Commerce</t>
  </si>
  <si>
    <t>SAS BETA</t>
  </si>
  <si>
    <t>Industrie</t>
  </si>
  <si>
    <t>SCI GAMMA</t>
  </si>
  <si>
    <t>Immobilier</t>
  </si>
  <si>
    <t>EURL DELTA</t>
  </si>
  <si>
    <t>Service</t>
  </si>
  <si>
    <t>SAS EPSILON</t>
  </si>
  <si>
    <t>Construction</t>
  </si>
  <si>
    <t>SARL ZETA</t>
  </si>
  <si>
    <t>SAS ETA</t>
  </si>
  <si>
    <t>SCI THETA</t>
  </si>
  <si>
    <t>EURL IOTA</t>
  </si>
  <si>
    <t>SAS KAPPA</t>
  </si>
  <si>
    <t>SARL LAMBDA</t>
  </si>
  <si>
    <t>SAS MU</t>
  </si>
  <si>
    <t>SCI NU</t>
  </si>
  <si>
    <t>EURL XI</t>
  </si>
  <si>
    <t>SAS OMICRON</t>
  </si>
  <si>
    <t>SARL PI</t>
  </si>
  <si>
    <t>SAS RHO</t>
  </si>
  <si>
    <t>SCI SIGMA</t>
  </si>
  <si>
    <t>EURL TAU</t>
  </si>
  <si>
    <t>SAS UPSILON</t>
  </si>
  <si>
    <t>Marge Nette</t>
  </si>
  <si>
    <t>Ratio Endettement</t>
  </si>
  <si>
    <t>Ratio Trésorerie</t>
  </si>
  <si>
    <t>Score brute</t>
  </si>
  <si>
    <t>Score normalisé</t>
  </si>
  <si>
    <t>Catégori</t>
  </si>
  <si>
    <t>Nombre d'entreprises à analyser:20</t>
  </si>
  <si>
    <t>Risque faible</t>
  </si>
  <si>
    <t>Risque modéré</t>
  </si>
  <si>
    <t>Risque élevé</t>
  </si>
  <si>
    <t>Entreprises à surveiller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</si>
</sst>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F1115"/>
      <name val="Quote-cjk-patch"/>
    </font>
    <font>
      <sz val="12.0"/>
      <color rgb="FF0F1115"/>
      <name val="Arial"/>
    </font>
    <font>
      <sz val="12.0"/>
      <color rgb="FF0F1115"/>
      <name val="Quote-cjk-patch"/>
    </font>
    <font>
      <b/>
      <sz val="12.0"/>
      <color rgb="FF0F1115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2" fontId="4" numFmtId="0" xfId="0" applyAlignment="1" applyBorder="1" applyFont="1">
      <alignment horizontal="left" readingOrder="0"/>
    </xf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>
        <v>450000.0</v>
      </c>
      <c r="D2" s="3">
        <v>-12000.0</v>
      </c>
      <c r="E2" s="3">
        <v>5000.0</v>
      </c>
      <c r="F2" s="3">
        <v>280000.0</v>
      </c>
      <c r="G2" s="3">
        <v>8.0</v>
      </c>
      <c r="H2" s="3">
        <v>45.0</v>
      </c>
    </row>
    <row r="3">
      <c r="A3" s="3" t="s">
        <v>10</v>
      </c>
      <c r="B3" s="3" t="s">
        <v>11</v>
      </c>
      <c r="C3" s="3">
        <v>1200000.0</v>
      </c>
      <c r="D3" s="3">
        <v>45000.0</v>
      </c>
      <c r="E3" s="3">
        <v>180000.0</v>
      </c>
      <c r="F3" s="3">
        <v>350000.0</v>
      </c>
      <c r="G3" s="3">
        <v>25.0</v>
      </c>
      <c r="H3" s="3">
        <v>12.0</v>
      </c>
    </row>
    <row r="4">
      <c r="A4" s="3" t="s">
        <v>12</v>
      </c>
      <c r="B4" s="3" t="s">
        <v>13</v>
      </c>
      <c r="C4" s="3">
        <v>320000.0</v>
      </c>
      <c r="D4" s="3">
        <v>-5500.0</v>
      </c>
      <c r="E4" s="3">
        <v>2000.0</v>
      </c>
      <c r="F4" s="3">
        <v>195000.0</v>
      </c>
      <c r="G4" s="3">
        <v>3.0</v>
      </c>
      <c r="H4" s="3">
        <v>68.0</v>
      </c>
    </row>
    <row r="5">
      <c r="A5" s="3" t="s">
        <v>14</v>
      </c>
      <c r="B5" s="3" t="s">
        <v>15</v>
      </c>
      <c r="C5" s="3">
        <v>890000.0</v>
      </c>
      <c r="D5" s="3">
        <v>78000.0</v>
      </c>
      <c r="E5" s="3">
        <v>245000.0</v>
      </c>
      <c r="F5" s="3">
        <v>120000.0</v>
      </c>
      <c r="G5" s="3">
        <v>12.0</v>
      </c>
      <c r="H5" s="3">
        <v>5.0</v>
      </c>
    </row>
    <row r="6">
      <c r="A6" s="3" t="s">
        <v>16</v>
      </c>
      <c r="B6" s="3" t="s">
        <v>17</v>
      </c>
      <c r="C6" s="3">
        <v>2100000.0</v>
      </c>
      <c r="D6" s="3">
        <v>-85000.0</v>
      </c>
      <c r="E6" s="3">
        <v>-15000.0</v>
      </c>
      <c r="F6" s="3">
        <v>1250000.0</v>
      </c>
      <c r="G6" s="3">
        <v>40.0</v>
      </c>
      <c r="H6" s="3">
        <v>52.0</v>
      </c>
    </row>
    <row r="7">
      <c r="A7" s="3" t="s">
        <v>18</v>
      </c>
      <c r="B7" s="3" t="s">
        <v>9</v>
      </c>
      <c r="C7" s="3">
        <v>340000.0</v>
      </c>
      <c r="D7" s="3">
        <v>12000.0</v>
      </c>
      <c r="E7" s="3">
        <v>45000.0</v>
      </c>
      <c r="F7" s="3">
        <v>180000.0</v>
      </c>
      <c r="G7" s="3">
        <v>6.0</v>
      </c>
      <c r="H7" s="3">
        <v>22.0</v>
      </c>
    </row>
    <row r="8">
      <c r="A8" s="3" t="s">
        <v>19</v>
      </c>
      <c r="B8" s="3" t="s">
        <v>11</v>
      </c>
      <c r="C8" s="3">
        <v>760000.0</v>
      </c>
      <c r="D8" s="3">
        <v>32000.0</v>
      </c>
      <c r="E8" s="3">
        <v>95000.0</v>
      </c>
      <c r="F8" s="3">
        <v>420000.0</v>
      </c>
      <c r="G8" s="3">
        <v>18.0</v>
      </c>
      <c r="H8" s="3">
        <v>15.0</v>
      </c>
    </row>
    <row r="9">
      <c r="A9" s="3" t="s">
        <v>20</v>
      </c>
      <c r="B9" s="3" t="s">
        <v>13</v>
      </c>
      <c r="C9" s="3">
        <v>510000.0</v>
      </c>
      <c r="D9" s="3">
        <v>-18000.0</v>
      </c>
      <c r="E9" s="3">
        <v>-5000.0</v>
      </c>
      <c r="F9" s="3">
        <v>380000.0</v>
      </c>
      <c r="G9" s="3">
        <v>4.0</v>
      </c>
      <c r="H9" s="3">
        <v>78.0</v>
      </c>
    </row>
    <row r="10">
      <c r="A10" s="3" t="s">
        <v>21</v>
      </c>
      <c r="B10" s="3" t="s">
        <v>15</v>
      </c>
      <c r="C10" s="3">
        <v>430000.0</v>
      </c>
      <c r="D10" s="3">
        <v>15000.0</v>
      </c>
      <c r="E10" s="3">
        <v>32000.0</v>
      </c>
      <c r="F10" s="3">
        <v>95000.0</v>
      </c>
      <c r="G10" s="3">
        <v>7.0</v>
      </c>
      <c r="H10" s="3">
        <v>18.0</v>
      </c>
    </row>
    <row r="11">
      <c r="A11" s="3" t="s">
        <v>22</v>
      </c>
      <c r="B11" s="3" t="s">
        <v>17</v>
      </c>
      <c r="C11" s="3">
        <v>980000.0</v>
      </c>
      <c r="D11" s="3">
        <v>-42000.0</v>
      </c>
      <c r="E11" s="3">
        <v>-25000.0</v>
      </c>
      <c r="F11" s="3">
        <v>750000.0</v>
      </c>
      <c r="G11" s="3">
        <v>22.0</v>
      </c>
      <c r="H11" s="3">
        <v>61.0</v>
      </c>
    </row>
    <row r="12">
      <c r="A12" s="3" t="s">
        <v>23</v>
      </c>
      <c r="B12" s="3" t="s">
        <v>9</v>
      </c>
      <c r="C12" s="3">
        <v>280000.0</v>
      </c>
      <c r="D12" s="3">
        <v>-8000.0</v>
      </c>
      <c r="E12" s="3">
        <v>12000.0</v>
      </c>
      <c r="F12" s="3">
        <v>210000.0</v>
      </c>
      <c r="G12" s="3">
        <v>5.0</v>
      </c>
      <c r="H12" s="3">
        <v>55.0</v>
      </c>
    </row>
    <row r="13">
      <c r="A13" s="3" t="s">
        <v>24</v>
      </c>
      <c r="B13" s="3" t="s">
        <v>11</v>
      </c>
      <c r="C13" s="3">
        <v>1500000.0</v>
      </c>
      <c r="D13" s="3">
        <v>68000.0</v>
      </c>
      <c r="E13" s="3">
        <v>320000.0</v>
      </c>
      <c r="F13" s="3">
        <v>450000.0</v>
      </c>
      <c r="G13" s="3">
        <v>30.0</v>
      </c>
      <c r="H13" s="3">
        <v>8.0</v>
      </c>
    </row>
    <row r="14">
      <c r="A14" s="3" t="s">
        <v>25</v>
      </c>
      <c r="B14" s="3" t="s">
        <v>13</v>
      </c>
      <c r="C14" s="3">
        <v>190000.0</v>
      </c>
      <c r="D14" s="3">
        <v>-3000.0</v>
      </c>
      <c r="E14" s="3">
        <v>8000.0</v>
      </c>
      <c r="F14" s="3">
        <v>145000.0</v>
      </c>
      <c r="G14" s="3">
        <v>2.0</v>
      </c>
      <c r="H14" s="3">
        <v>72.0</v>
      </c>
    </row>
    <row r="15">
      <c r="A15" s="3" t="s">
        <v>26</v>
      </c>
      <c r="B15" s="3" t="s">
        <v>15</v>
      </c>
      <c r="C15" s="3">
        <v>720000.0</v>
      </c>
      <c r="D15" s="3">
        <v>55000.0</v>
      </c>
      <c r="E15" s="3">
        <v>180000.0</v>
      </c>
      <c r="F15" s="3">
        <v>85000.0</v>
      </c>
      <c r="G15" s="3">
        <v>11.0</v>
      </c>
      <c r="H15" s="3">
        <v>10.0</v>
      </c>
    </row>
    <row r="16">
      <c r="A16" s="3" t="s">
        <v>27</v>
      </c>
      <c r="B16" s="3" t="s">
        <v>17</v>
      </c>
      <c r="C16" s="3">
        <v>1650000.0</v>
      </c>
      <c r="D16" s="3">
        <v>-65000.0</v>
      </c>
      <c r="E16" s="3">
        <v>-18000.0</v>
      </c>
      <c r="F16" s="3">
        <v>980000.0</v>
      </c>
      <c r="G16" s="3">
        <v>35.0</v>
      </c>
      <c r="H16" s="3">
        <v>58.0</v>
      </c>
    </row>
    <row r="17">
      <c r="A17" s="3" t="s">
        <v>28</v>
      </c>
      <c r="B17" s="3" t="s">
        <v>9</v>
      </c>
      <c r="C17" s="3">
        <v>560000.0</v>
      </c>
      <c r="D17" s="3">
        <v>22000.0</v>
      </c>
      <c r="E17" s="3">
        <v>78000.0</v>
      </c>
      <c r="F17" s="3">
        <v>320000.0</v>
      </c>
      <c r="G17" s="3">
        <v>9.0</v>
      </c>
      <c r="H17" s="3">
        <v>25.0</v>
      </c>
    </row>
    <row r="18">
      <c r="A18" s="3" t="s">
        <v>29</v>
      </c>
      <c r="B18" s="3" t="s">
        <v>11</v>
      </c>
      <c r="C18" s="3">
        <v>2300000.0</v>
      </c>
      <c r="D18" s="3">
        <v>95000.0</v>
      </c>
      <c r="E18" s="3">
        <v>520000.0</v>
      </c>
      <c r="F18" s="3">
        <v>680000.0</v>
      </c>
      <c r="G18" s="3">
        <v>45.0</v>
      </c>
      <c r="H18" s="3">
        <v>6.0</v>
      </c>
    </row>
    <row r="19">
      <c r="A19" s="3" t="s">
        <v>30</v>
      </c>
      <c r="B19" s="3" t="s">
        <v>13</v>
      </c>
      <c r="C19" s="3">
        <v>280000.0</v>
      </c>
      <c r="D19" s="3">
        <v>-12000.0</v>
      </c>
      <c r="E19" s="3">
        <v>-8000.0</v>
      </c>
      <c r="F19" s="3">
        <v>210000.0</v>
      </c>
      <c r="G19" s="3">
        <v>3.0</v>
      </c>
      <c r="H19" s="3">
        <v>82.0</v>
      </c>
    </row>
    <row r="20">
      <c r="A20" s="3" t="s">
        <v>31</v>
      </c>
      <c r="B20" s="3" t="s">
        <v>15</v>
      </c>
      <c r="C20" s="3">
        <v>380000.0</v>
      </c>
      <c r="D20" s="3">
        <v>12000.0</v>
      </c>
      <c r="E20" s="3">
        <v>25000.0</v>
      </c>
      <c r="F20" s="3">
        <v>75000.0</v>
      </c>
      <c r="G20" s="3">
        <v>6.0</v>
      </c>
      <c r="H20" s="3">
        <v>20.0</v>
      </c>
    </row>
    <row r="21">
      <c r="A21" s="3" t="s">
        <v>32</v>
      </c>
      <c r="B21" s="3" t="s">
        <v>17</v>
      </c>
      <c r="C21" s="3">
        <v>890000.0</v>
      </c>
      <c r="D21" s="3">
        <v>-38000.0</v>
      </c>
      <c r="E21" s="3">
        <v>-12000.0</v>
      </c>
      <c r="F21" s="3">
        <v>620000.0</v>
      </c>
      <c r="G21" s="3">
        <v>18.0</v>
      </c>
      <c r="H21" s="3">
        <v>49.0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33</v>
      </c>
      <c r="C1" s="1" t="s">
        <v>34</v>
      </c>
      <c r="D1" s="1" t="s">
        <v>35</v>
      </c>
      <c r="E1" s="4" t="s">
        <v>36</v>
      </c>
      <c r="F1" s="4" t="s">
        <v>37</v>
      </c>
      <c r="G1" s="1" t="s">
        <v>38</v>
      </c>
    </row>
    <row r="2">
      <c r="A2" s="2" t="str">
        <f>'Données'!A2</f>
        <v>SARL ALPHA</v>
      </c>
      <c r="B2" s="5">
        <f>IF('Données'!D2&lt;&gt;0,'Données'!D2/'Données'!C2*100,0)</f>
        <v>-2.666666667</v>
      </c>
      <c r="C2" s="5">
        <f>IF('Données'!C2&lt;&gt;0,'Données'!F2/'Données'!C2*100,0)</f>
        <v>62.22222222</v>
      </c>
      <c r="D2" s="5">
        <f>IF('Données'!C2&lt;&gt;0,'Données'!E2/'Données'!C2*100,0)</f>
        <v>1.111111111</v>
      </c>
      <c r="E2" s="5">
        <f>(C2*30+'Données'!H2*1.5+D2*20+B2*1)</f>
        <v>1953.722222</v>
      </c>
      <c r="F2" s="5">
        <f t="shared" ref="F2:F21" si="1">((E2-MIN(E2:E21))/MAX(E2:E21))*100</f>
        <v>48.25924668</v>
      </c>
      <c r="G2" s="5" t="str">
        <f t="shared" ref="G2:G21" si="2">IF(F2&lt;30,"Faible",IF(F2&lt;60,"Modéré","Élevée"))</f>
        <v>Modéré</v>
      </c>
    </row>
    <row r="3">
      <c r="A3" s="2" t="str">
        <f>'Données'!A3</f>
        <v>SAS BETA</v>
      </c>
      <c r="B3" s="5">
        <f>IF('Données'!D3&lt;&gt;0,'Données'!D3/'Données'!C3*100,0)</f>
        <v>3.75</v>
      </c>
      <c r="C3" s="5">
        <f>IF('Données'!C3&lt;&gt;0,'Données'!F3/'Données'!C3*100,0)</f>
        <v>29.16666667</v>
      </c>
      <c r="D3" s="5">
        <f>IF('Données'!C3&lt;&gt;0,'Données'!E3/'Données'!C3*100,0)</f>
        <v>15</v>
      </c>
      <c r="E3" s="5">
        <f>(C3*30+'Données'!H3*1.5+D3*20+B3*1)</f>
        <v>1196.75</v>
      </c>
      <c r="F3" s="5">
        <f t="shared" si="1"/>
        <v>17.7374687</v>
      </c>
      <c r="G3" s="5" t="str">
        <f t="shared" si="2"/>
        <v>Faible</v>
      </c>
    </row>
    <row r="4">
      <c r="A4" s="2" t="str">
        <f>'Données'!A4</f>
        <v>SCI GAMMA</v>
      </c>
      <c r="B4" s="5">
        <f>IF('Données'!D4&lt;&gt;0,'Données'!D4/'Données'!C4*100,0)</f>
        <v>-1.71875</v>
      </c>
      <c r="C4" s="5">
        <f>IF('Données'!C4&lt;&gt;0,'Données'!F4/'Données'!C4*100,0)</f>
        <v>60.9375</v>
      </c>
      <c r="D4" s="5">
        <f>IF('Données'!C4&lt;&gt;0,'Données'!E4/'Données'!C4*100,0)</f>
        <v>0.625</v>
      </c>
      <c r="E4" s="5">
        <f>(C4*30+'Données'!H4*1.5+D4*20+B4*1)</f>
        <v>1940.90625</v>
      </c>
      <c r="F4" s="5">
        <f t="shared" si="1"/>
        <v>47.74249554</v>
      </c>
      <c r="G4" s="5" t="str">
        <f t="shared" si="2"/>
        <v>Modéré</v>
      </c>
    </row>
    <row r="5">
      <c r="A5" s="2" t="str">
        <f>'Données'!A5</f>
        <v>EURL DELTA</v>
      </c>
      <c r="B5" s="5">
        <f>IF('Données'!D5&lt;&gt;0,'Données'!D5/'Données'!C5*100,0)</f>
        <v>8.764044944</v>
      </c>
      <c r="C5" s="5">
        <f>IF('Données'!C5&lt;&gt;0,'Données'!F5/'Données'!C5*100,0)</f>
        <v>13.48314607</v>
      </c>
      <c r="D5" s="5">
        <f>IF('Données'!C5&lt;&gt;0,'Données'!E5/'Données'!C5*100,0)</f>
        <v>27.52808989</v>
      </c>
      <c r="E5" s="5">
        <f>(C5*30+'Données'!H5*1.5+D5*20+B5*1)</f>
        <v>971.3202247</v>
      </c>
      <c r="F5" s="5">
        <f t="shared" si="1"/>
        <v>8.647944208</v>
      </c>
      <c r="G5" s="5" t="str">
        <f t="shared" si="2"/>
        <v>Faible</v>
      </c>
    </row>
    <row r="6">
      <c r="A6" s="2" t="str">
        <f>'Données'!A6</f>
        <v>SAS EPSILON</v>
      </c>
      <c r="B6" s="5">
        <f>IF('Données'!D6&lt;&gt;0,'Données'!D6/'Données'!C6*100,0)</f>
        <v>-4.047619048</v>
      </c>
      <c r="C6" s="5">
        <f>IF('Données'!C6&lt;&gt;0,'Données'!F6/'Données'!C6*100,0)</f>
        <v>59.52380952</v>
      </c>
      <c r="D6" s="5">
        <f>IF('Données'!C6&lt;&gt;0,'Données'!E6/'Données'!C6*100,0)</f>
        <v>-0.7142857143</v>
      </c>
      <c r="E6" s="5">
        <f>(C6*30+'Données'!H6*1.5+D6*20+B6*1)</f>
        <v>1845.380952</v>
      </c>
      <c r="F6" s="5">
        <f t="shared" si="1"/>
        <v>43.89083251</v>
      </c>
      <c r="G6" s="5" t="str">
        <f t="shared" si="2"/>
        <v>Modéré</v>
      </c>
    </row>
    <row r="7">
      <c r="A7" s="2" t="str">
        <f>'Données'!A7</f>
        <v>SARL ZETA</v>
      </c>
      <c r="B7" s="5">
        <f>IF('Données'!D7&lt;&gt;0,'Données'!D7/'Données'!C7*100,0)</f>
        <v>3.529411765</v>
      </c>
      <c r="C7" s="5">
        <f>IF('Données'!C7&lt;&gt;0,'Données'!F7/'Données'!C7*100,0)</f>
        <v>52.94117647</v>
      </c>
      <c r="D7" s="5">
        <f>IF('Données'!C7&lt;&gt;0,'Données'!E7/'Données'!C7*100,0)</f>
        <v>13.23529412</v>
      </c>
      <c r="E7" s="5">
        <f>(C7*30+'Données'!H7*1.5+D7*20+B7*1)</f>
        <v>1889.470588</v>
      </c>
      <c r="F7" s="5">
        <f t="shared" si="1"/>
        <v>45.66856495</v>
      </c>
      <c r="G7" s="5" t="str">
        <f t="shared" si="2"/>
        <v>Modéré</v>
      </c>
    </row>
    <row r="8">
      <c r="A8" s="2" t="str">
        <f>'Données'!A8</f>
        <v>SAS ETA</v>
      </c>
      <c r="B8" s="5">
        <f>IF('Données'!D8&lt;&gt;0,'Données'!D8/'Données'!C8*100,0)</f>
        <v>4.210526316</v>
      </c>
      <c r="C8" s="5">
        <f>IF('Données'!C8&lt;&gt;0,'Données'!F8/'Données'!C8*100,0)</f>
        <v>55.26315789</v>
      </c>
      <c r="D8" s="5">
        <f>IF('Données'!C8&lt;&gt;0,'Données'!E8/'Données'!C8*100,0)</f>
        <v>12.5</v>
      </c>
      <c r="E8" s="5">
        <f>(C8*30+'Données'!H8*1.5+D8*20+B8*1)</f>
        <v>1934.605263</v>
      </c>
      <c r="F8" s="5">
        <f t="shared" si="1"/>
        <v>47.48843428</v>
      </c>
      <c r="G8" s="5" t="str">
        <f t="shared" si="2"/>
        <v>Modéré</v>
      </c>
    </row>
    <row r="9">
      <c r="A9" s="2" t="str">
        <f>'Données'!A9</f>
        <v>SCI THETA</v>
      </c>
      <c r="B9" s="5">
        <f>IF('Données'!D9&lt;&gt;0,'Données'!D9/'Données'!C9*100,0)</f>
        <v>-3.529411765</v>
      </c>
      <c r="C9" s="5">
        <f>IF('Données'!C9&lt;&gt;0,'Données'!F9/'Données'!C9*100,0)</f>
        <v>74.50980392</v>
      </c>
      <c r="D9" s="5">
        <f>IF('Données'!C9&lt;&gt;0,'Données'!E9/'Données'!C9*100,0)</f>
        <v>-0.9803921569</v>
      </c>
      <c r="E9" s="5">
        <f>(C9*30+'Données'!H9*1.5+D9*20+B9*1)</f>
        <v>2329.156863</v>
      </c>
      <c r="F9" s="5">
        <f t="shared" si="1"/>
        <v>63.39709773</v>
      </c>
      <c r="G9" s="5" t="str">
        <f t="shared" si="2"/>
        <v>Élevée</v>
      </c>
    </row>
    <row r="10">
      <c r="A10" s="2" t="str">
        <f>'Données'!A10</f>
        <v>EURL IOTA</v>
      </c>
      <c r="B10" s="5">
        <f>IF('Données'!D10&lt;&gt;0,'Données'!D10/'Données'!C10*100,0)</f>
        <v>3.488372093</v>
      </c>
      <c r="C10" s="5">
        <f>IF('Données'!C10&lt;&gt;0,'Données'!F10/'Données'!C10*100,0)</f>
        <v>22.09302326</v>
      </c>
      <c r="D10" s="5">
        <f>IF('Données'!C10&lt;&gt;0,'Données'!E10/'Données'!C10*100,0)</f>
        <v>7.441860465</v>
      </c>
      <c r="E10" s="5">
        <f>(C10*30+'Données'!H10*1.5+D10*20+B10*1)</f>
        <v>842.1162791</v>
      </c>
      <c r="F10" s="5">
        <f t="shared" si="1"/>
        <v>3.438328811</v>
      </c>
      <c r="G10" s="5" t="str">
        <f t="shared" si="2"/>
        <v>Faible</v>
      </c>
    </row>
    <row r="11">
      <c r="A11" s="2" t="str">
        <f>'Données'!A11</f>
        <v>SAS KAPPA</v>
      </c>
      <c r="B11" s="5">
        <f>IF('Données'!D11&lt;&gt;0,'Données'!D11/'Données'!C11*100,0)</f>
        <v>-4.285714286</v>
      </c>
      <c r="C11" s="5">
        <f>IF('Données'!C11&lt;&gt;0,'Données'!F11/'Données'!C11*100,0)</f>
        <v>76.53061224</v>
      </c>
      <c r="D11" s="5">
        <f>IF('Données'!C11&lt;&gt;0,'Données'!E11/'Données'!C11*100,0)</f>
        <v>-2.551020408</v>
      </c>
      <c r="E11" s="5">
        <f>(C11*30+'Données'!H11*1.5+D11*20+B11*1)</f>
        <v>2332.112245</v>
      </c>
      <c r="F11" s="5">
        <f t="shared" si="1"/>
        <v>63.51626131</v>
      </c>
      <c r="G11" s="5" t="str">
        <f t="shared" si="2"/>
        <v>Élevée</v>
      </c>
    </row>
    <row r="12">
      <c r="A12" s="2" t="str">
        <f>'Données'!A12</f>
        <v>SARL LAMBDA</v>
      </c>
      <c r="B12" s="5">
        <f>IF('Données'!D12&lt;&gt;0,'Données'!D12/'Données'!C12*100,0)</f>
        <v>-2.857142857</v>
      </c>
      <c r="C12" s="5">
        <f>IF('Données'!C12&lt;&gt;0,'Données'!F12/'Données'!C12*100,0)</f>
        <v>75</v>
      </c>
      <c r="D12" s="5">
        <f>IF('Données'!C12&lt;&gt;0,'Données'!E12/'Données'!C12*100,0)</f>
        <v>4.285714286</v>
      </c>
      <c r="E12" s="5">
        <f>(C12*30+'Données'!H12*1.5+D12*20+B12*1)</f>
        <v>2415.357143</v>
      </c>
      <c r="F12" s="5">
        <f t="shared" si="1"/>
        <v>66.87276795</v>
      </c>
      <c r="G12" s="5" t="str">
        <f t="shared" si="2"/>
        <v>Élevée</v>
      </c>
    </row>
    <row r="13">
      <c r="A13" s="2" t="str">
        <f>'Données'!A13</f>
        <v>SAS MU</v>
      </c>
      <c r="B13" s="5">
        <f>IF('Données'!D13&lt;&gt;0,'Données'!D13/'Données'!C13*100,0)</f>
        <v>4.533333333</v>
      </c>
      <c r="C13" s="5">
        <f>IF('Données'!C13&lt;&gt;0,'Données'!F13/'Données'!C13*100,0)</f>
        <v>30</v>
      </c>
      <c r="D13" s="5">
        <f>IF('Données'!C13&lt;&gt;0,'Données'!E13/'Données'!C13*100,0)</f>
        <v>21.33333333</v>
      </c>
      <c r="E13" s="5">
        <f>(C13*30+'Données'!H13*1.5+D13*20+B13*1)</f>
        <v>1343.2</v>
      </c>
      <c r="F13" s="5">
        <f t="shared" si="1"/>
        <v>23.64246</v>
      </c>
      <c r="G13" s="5" t="str">
        <f t="shared" si="2"/>
        <v>Faible</v>
      </c>
    </row>
    <row r="14">
      <c r="A14" s="2" t="str">
        <f>'Données'!A14</f>
        <v>SCI NU</v>
      </c>
      <c r="B14" s="5">
        <f>IF('Données'!D14&lt;&gt;0,'Données'!D14/'Données'!C14*100,0)</f>
        <v>-1.578947368</v>
      </c>
      <c r="C14" s="5">
        <f>IF('Données'!C14&lt;&gt;0,'Données'!F14/'Données'!C14*100,0)</f>
        <v>76.31578947</v>
      </c>
      <c r="D14" s="5">
        <f>IF('Données'!C14&lt;&gt;0,'Données'!E14/'Données'!C14*100,0)</f>
        <v>4.210526316</v>
      </c>
      <c r="E14" s="5">
        <f>(C14*30+'Données'!H14*1.5+D14*20+B14*1)</f>
        <v>2480.105263</v>
      </c>
      <c r="F14" s="5">
        <f t="shared" si="1"/>
        <v>69.48346844</v>
      </c>
      <c r="G14" s="5" t="str">
        <f t="shared" si="2"/>
        <v>Élevée</v>
      </c>
    </row>
    <row r="15">
      <c r="A15" s="2" t="str">
        <f>'Données'!A15</f>
        <v>EURL XI</v>
      </c>
      <c r="B15" s="5">
        <f>IF('Données'!D15&lt;&gt;0,'Données'!D15/'Données'!C15*100,0)</f>
        <v>7.638888889</v>
      </c>
      <c r="C15" s="5">
        <f>IF('Données'!C15&lt;&gt;0,'Données'!F15/'Données'!C15*100,0)</f>
        <v>11.80555556</v>
      </c>
      <c r="D15" s="5">
        <f>IF('Données'!C15&lt;&gt;0,'Données'!E15/'Données'!C15*100,0)</f>
        <v>25</v>
      </c>
      <c r="E15" s="5">
        <f>(C15*30+'Données'!H15*1.5+D15*20+B15*1)</f>
        <v>876.8055556</v>
      </c>
      <c r="F15" s="5">
        <f t="shared" si="1"/>
        <v>5.189692553</v>
      </c>
      <c r="G15" s="5" t="str">
        <f t="shared" si="2"/>
        <v>Faible</v>
      </c>
    </row>
    <row r="16">
      <c r="A16" s="2" t="str">
        <f>'Données'!A16</f>
        <v>SAS OMICRON</v>
      </c>
      <c r="B16" s="5">
        <f>IF('Données'!D16&lt;&gt;0,'Données'!D16/'Données'!C16*100,0)</f>
        <v>-3.939393939</v>
      </c>
      <c r="C16" s="5">
        <f>IF('Données'!C16&lt;&gt;0,'Données'!F16/'Données'!C16*100,0)</f>
        <v>59.39393939</v>
      </c>
      <c r="D16" s="5">
        <f>IF('Données'!C16&lt;&gt;0,'Données'!E16/'Données'!C16*100,0)</f>
        <v>-1.090909091</v>
      </c>
      <c r="E16" s="5">
        <f>(C16*30+'Données'!H16*1.5+D16*20+B16*1)</f>
        <v>1843.060606</v>
      </c>
      <c r="F16" s="5">
        <f t="shared" si="1"/>
        <v>46.99047961</v>
      </c>
      <c r="G16" s="5" t="str">
        <f t="shared" si="2"/>
        <v>Modéré</v>
      </c>
    </row>
    <row r="17">
      <c r="A17" s="2" t="str">
        <f>'Données'!A17</f>
        <v>SARL PI</v>
      </c>
      <c r="B17" s="5">
        <f>IF('Données'!D17&lt;&gt;0,'Données'!D17/'Données'!C17*100,0)</f>
        <v>3.928571429</v>
      </c>
      <c r="C17" s="5">
        <f>IF('Données'!C17&lt;&gt;0,'Données'!F17/'Données'!C17*100,0)</f>
        <v>57.14285714</v>
      </c>
      <c r="D17" s="5">
        <f>IF('Données'!C17&lt;&gt;0,'Données'!E17/'Données'!C17*100,0)</f>
        <v>13.92857143</v>
      </c>
      <c r="E17" s="5">
        <f>(C17*30+'Données'!H17*1.5+D17*20+B17*1)</f>
        <v>2034.285714</v>
      </c>
      <c r="F17" s="5">
        <f t="shared" si="1"/>
        <v>55.26299526</v>
      </c>
      <c r="G17" s="5" t="str">
        <f t="shared" si="2"/>
        <v>Modéré</v>
      </c>
    </row>
    <row r="18">
      <c r="A18" s="2" t="str">
        <f>'Données'!A18</f>
        <v>SAS RHO</v>
      </c>
      <c r="B18" s="5">
        <f>IF('Données'!D18&lt;&gt;0,'Données'!D18/'Données'!C18*100,0)</f>
        <v>4.130434783</v>
      </c>
      <c r="C18" s="5">
        <f>IF('Données'!C18&lt;&gt;0,'Données'!F18/'Données'!C18*100,0)</f>
        <v>29.56521739</v>
      </c>
      <c r="D18" s="5">
        <f>IF('Données'!C18&lt;&gt;0,'Données'!E18/'Données'!C18*100,0)</f>
        <v>22.60869565</v>
      </c>
      <c r="E18" s="5">
        <f>(C18*30+'Données'!H18*1.5+D18*20+B18*1)</f>
        <v>1352.26087</v>
      </c>
      <c r="F18" s="5">
        <f t="shared" si="1"/>
        <v>25.75818151</v>
      </c>
      <c r="G18" s="5" t="str">
        <f t="shared" si="2"/>
        <v>Faible</v>
      </c>
    </row>
    <row r="19">
      <c r="A19" s="2" t="str">
        <f>'Données'!A19</f>
        <v>SCI SIGMA</v>
      </c>
      <c r="B19" s="5">
        <f>IF('Données'!D19&lt;&gt;0,'Données'!D19/'Données'!C19*100,0)</f>
        <v>-4.285714286</v>
      </c>
      <c r="C19" s="5">
        <f>IF('Données'!C19&lt;&gt;0,'Données'!F19/'Données'!C19*100,0)</f>
        <v>75</v>
      </c>
      <c r="D19" s="5">
        <f>IF('Données'!C19&lt;&gt;0,'Données'!E19/'Données'!C19*100,0)</f>
        <v>-2.857142857</v>
      </c>
      <c r="E19" s="5">
        <f>(C19*30+'Données'!H19*1.5+D19*20+B19*1)</f>
        <v>2311.571429</v>
      </c>
      <c r="F19" s="5">
        <f t="shared" si="1"/>
        <v>67.2585456</v>
      </c>
      <c r="G19" s="5" t="str">
        <f t="shared" si="2"/>
        <v>Élevée</v>
      </c>
    </row>
    <row r="20">
      <c r="A20" s="2" t="str">
        <f>'Données'!A20</f>
        <v>EURL TAU</v>
      </c>
      <c r="B20" s="5">
        <f>IF('Données'!D20&lt;&gt;0,'Données'!D20/'Données'!C20*100,0)</f>
        <v>3.157894737</v>
      </c>
      <c r="C20" s="5">
        <f>IF('Données'!C20&lt;&gt;0,'Données'!F20/'Données'!C20*100,0)</f>
        <v>19.73684211</v>
      </c>
      <c r="D20" s="5">
        <f>IF('Données'!C20&lt;&gt;0,'Données'!E20/'Données'!C20*100,0)</f>
        <v>6.578947368</v>
      </c>
      <c r="E20" s="5">
        <f>(C20*30+'Données'!H20*1.5+D20*20+B20*1)</f>
        <v>756.8421053</v>
      </c>
      <c r="F20" s="5">
        <f t="shared" si="1"/>
        <v>0</v>
      </c>
      <c r="G20" s="5" t="str">
        <f t="shared" si="2"/>
        <v>Faible</v>
      </c>
    </row>
    <row r="21">
      <c r="A21" s="2" t="str">
        <f>'Données'!A21</f>
        <v>SAS UPSILON</v>
      </c>
      <c r="B21" s="5">
        <f>IF('Données'!D21&lt;&gt;0,'Données'!D21/'Données'!C21*100,0)</f>
        <v>-4.269662921</v>
      </c>
      <c r="C21" s="5">
        <f>IF('Données'!C21&lt;&gt;0,'Données'!F21/'Données'!C21*100,0)</f>
        <v>69.66292135</v>
      </c>
      <c r="D21" s="5">
        <f>IF('Données'!C21&lt;&gt;0,'Données'!E21/'Données'!C21*100,0)</f>
        <v>-1.348314607</v>
      </c>
      <c r="E21" s="5">
        <f>(C21*30+'Données'!H21*1.5+D21*20+B21*1)</f>
        <v>2132.151685</v>
      </c>
      <c r="F21" s="5">
        <f t="shared" si="1"/>
        <v>0</v>
      </c>
      <c r="G21" s="5" t="str">
        <f t="shared" si="2"/>
        <v>Faible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</cols>
  <sheetData>
    <row r="1">
      <c r="B1" s="6" t="s">
        <v>39</v>
      </c>
    </row>
    <row r="4">
      <c r="A4" s="6" t="s">
        <v>40</v>
      </c>
      <c r="B4" s="5">
        <f>COUNTIF(Scoring!G2:G21,"Faible")</f>
        <v>8</v>
      </c>
    </row>
    <row r="5">
      <c r="A5" s="6" t="s">
        <v>41</v>
      </c>
      <c r="B5" s="5">
        <f>COUNTIF(Scoring!G3:G22,"Modéré")</f>
        <v>6</v>
      </c>
    </row>
    <row r="6">
      <c r="A6" s="6" t="s">
        <v>42</v>
      </c>
      <c r="B6" s="5">
        <f>COUNTIF(Scoring!G4:G23,"Élevée")</f>
        <v>5</v>
      </c>
    </row>
    <row r="8">
      <c r="B8" s="6" t="s">
        <v>43</v>
      </c>
      <c r="C8" s="5" t="str">
        <f>IFERROR(__xludf.DUMMYFUNCTION("QUERY(Scoring!A2:G21,""SELECT A, G WHERE G = 'Élevée'"",0)"),"SCI THETA")</f>
        <v>SCI THETA</v>
      </c>
      <c r="D8" s="5" t="str">
        <f>IFERROR(__xludf.DUMMYFUNCTION("""COMPUTED_VALUE"""),"Élevée")</f>
        <v>Élevée</v>
      </c>
    </row>
    <row r="9">
      <c r="C9" s="5" t="str">
        <f>IFERROR(__xludf.DUMMYFUNCTION("""COMPUTED_VALUE"""),"SAS KAPPA")</f>
        <v>SAS KAPPA</v>
      </c>
      <c r="D9" s="5" t="str">
        <f>IFERROR(__xludf.DUMMYFUNCTION("""COMPUTED_VALUE"""),"Élevée")</f>
        <v>Élevée</v>
      </c>
    </row>
    <row r="10">
      <c r="C10" s="5" t="str">
        <f>IFERROR(__xludf.DUMMYFUNCTION("""COMPUTED_VALUE"""),"SARL LAMBDA")</f>
        <v>SARL LAMBDA</v>
      </c>
      <c r="D10" s="5" t="str">
        <f>IFERROR(__xludf.DUMMYFUNCTION("""COMPUTED_VALUE"""),"Élevée")</f>
        <v>Élevée</v>
      </c>
    </row>
    <row r="11">
      <c r="C11" s="5" t="str">
        <f>IFERROR(__xludf.DUMMYFUNCTION("""COMPUTED_VALUE"""),"SCI NU")</f>
        <v>SCI NU</v>
      </c>
      <c r="D11" s="5" t="str">
        <f>IFERROR(__xludf.DUMMYFUNCTION("""COMPUTED_VALUE"""),"Élevée")</f>
        <v>Élevée</v>
      </c>
    </row>
    <row r="12">
      <c r="C12" s="5" t="str">
        <f>IFERROR(__xludf.DUMMYFUNCTION("""COMPUTED_VALUE"""),"SCI SIGMA")</f>
        <v>SCI SIGMA</v>
      </c>
      <c r="D12" s="5" t="str">
        <f>IFERROR(__xludf.DUMMYFUNCTION("""COMPUTED_VALUE"""),"Élevée")</f>
        <v>Élevée</v>
      </c>
    </row>
  </sheetData>
  <drawing r:id="rId1"/>
</worksheet>
</file>